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ssam Alghousein\Desktop\WorkoutLoggerApp\"/>
    </mc:Choice>
  </mc:AlternateContent>
  <xr:revisionPtr revIDLastSave="0" documentId="13_ncr:1_{710440CC-EFA7-454A-9B88-F70CBBDE9B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ger" sheetId="1" r:id="rId1"/>
    <sheet name="Planner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" l="1"/>
  <c r="H65" i="1"/>
  <c r="H66" i="1"/>
  <c r="H67" i="1"/>
  <c r="H68" i="1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<sst xmlns="http://schemas.openxmlformats.org/spreadsheetml/2006/main" count="146" uniqueCount="86">
  <si>
    <t>Date</t>
  </si>
  <si>
    <t>Day (Pull/Push/Legs)</t>
  </si>
  <si>
    <t>Exercise</t>
  </si>
  <si>
    <t>Set #</t>
  </si>
  <si>
    <t>Reps</t>
  </si>
  <si>
    <t>Weight (kg)</t>
  </si>
  <si>
    <t>Weight (lb)</t>
  </si>
  <si>
    <t>Weight (kg converted)</t>
  </si>
  <si>
    <t>Notes</t>
  </si>
  <si>
    <t>Pull</t>
  </si>
  <si>
    <t>Cable row</t>
  </si>
  <si>
    <t>Wide cable lat pulldown</t>
  </si>
  <si>
    <t>Mts row</t>
  </si>
  <si>
    <t>Each hand</t>
  </si>
  <si>
    <t>Machine bicep curl</t>
  </si>
  <si>
    <t>Cable hammer curl</t>
  </si>
  <si>
    <t>2025-10-26</t>
  </si>
  <si>
    <t>Push</t>
  </si>
  <si>
    <t>testing</t>
  </si>
  <si>
    <t>2025-10-25</t>
  </si>
  <si>
    <t>test</t>
  </si>
  <si>
    <t>Planned Workout</t>
  </si>
  <si>
    <t>Planned</t>
  </si>
  <si>
    <t>Status</t>
  </si>
  <si>
    <t>2025-10-27</t>
  </si>
  <si>
    <t>Rest</t>
  </si>
  <si>
    <t>2025-10-28</t>
  </si>
  <si>
    <t>2025-10-29</t>
  </si>
  <si>
    <t>2025-10-30</t>
  </si>
  <si>
    <t>2025-10-31</t>
  </si>
  <si>
    <t>2025-11-01</t>
  </si>
  <si>
    <t>2025-11-02</t>
  </si>
  <si>
    <t>Legs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</si>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</sst>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indexed="64"/>
      </right>
      <top style="medium">
        <color indexed="64"/>
      </top>
      <bottom style="thick">
        <color auto="1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ck">
        <color auto="1"/>
      </bottom>
      <diagonal/>
    </border>
    <border>
      <left style="dashed">
        <color indexed="64"/>
      </left>
      <right style="thin">
        <color auto="1"/>
      </right>
      <top style="medium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14" fontId="0" fillId="0" borderId="5" xfId="0" applyNumberFormat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theme="0" tint="-0.149937437055574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showGridLines="0" tabSelected="1" zoomScale="130" zoomScaleNormal="130" workbookViewId="0">
      <selection activeCell="B2" sqref="B2"/>
    </sheetView>
  </sheetViews>
  <sheetFormatPr defaultColWidth="0" defaultRowHeight="15" x14ac:dyDescent="0.25"/>
  <cols>
    <col min="1" max="1" width="14.42578125" style="2" customWidth="1"/>
    <col min="2" max="2" width="19.7109375" style="3" bestFit="1" customWidth="1"/>
    <col min="3" max="3" width="22.85546875" style="3" bestFit="1" customWidth="1"/>
    <col min="4" max="4" width="11" style="3" customWidth="1"/>
    <col min="5" max="5" width="12.85546875" style="3" customWidth="1"/>
    <col min="6" max="6" width="16" style="3" customWidth="1"/>
    <col min="7" max="7" width="16.140625" style="3" customWidth="1"/>
    <col min="8" max="8" width="21.140625" style="3" bestFit="1" customWidth="1"/>
    <col min="9" max="9" width="36.85546875" style="4" customWidth="1"/>
    <col min="10" max="10" width="0" hidden="1" customWidth="1"/>
    <col min="11" max="11" width="9.140625" hidden="1" customWidth="1"/>
    <col min="12" max="16384" width="9.140625" hidden="1"/>
  </cols>
  <sheetData>
    <row r="1" spans="1:9" s="1" customFormat="1" ht="15.75" customHeight="1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ht="15.75" customHeight="1" thickTop="1" x14ac:dyDescent="0.25">
      <c r="A2" s="11">
        <v>45955</v>
      </c>
      <c r="B2" s="6" t="s">
        <v>9</v>
      </c>
      <c r="C2" s="6" t="s">
        <v>10</v>
      </c>
      <c r="D2" s="6">
        <v>4</v>
      </c>
      <c r="E2" s="6">
        <v>12</v>
      </c>
      <c r="F2" s="6">
        <v>60</v>
      </c>
      <c r="G2" s="6"/>
      <c r="H2" s="12">
        <f t="shared" ref="H2:H33" si="0">IF(F2&lt;&gt;"",IF(ISBLANK(G2),F2,CONVERT(G2,"lbm","kg")),F2)</f>
        <v>60</v>
      </c>
      <c r="I2" s="7"/>
    </row>
    <row r="3" spans="1:9" x14ac:dyDescent="0.25">
      <c r="C3" s="3" t="s">
        <v>11</v>
      </c>
      <c r="D3" s="3">
        <v>4</v>
      </c>
      <c r="E3" s="3">
        <v>12</v>
      </c>
      <c r="F3" s="3">
        <v>60</v>
      </c>
      <c r="H3" s="12">
        <f t="shared" si="0"/>
        <v>60</v>
      </c>
    </row>
    <row r="4" spans="1:9" x14ac:dyDescent="0.25">
      <c r="C4" s="3" t="s">
        <v>12</v>
      </c>
      <c r="D4" s="3">
        <v>3</v>
      </c>
      <c r="E4" s="3">
        <v>15</v>
      </c>
      <c r="F4" s="3">
        <v>50</v>
      </c>
      <c r="H4" s="12">
        <f t="shared" si="0"/>
        <v>50</v>
      </c>
      <c r="I4" s="4" t="s">
        <v>13</v>
      </c>
    </row>
    <row r="5" spans="1:9" x14ac:dyDescent="0.25">
      <c r="C5" s="3" t="s">
        <v>14</v>
      </c>
      <c r="D5" s="3">
        <v>4</v>
      </c>
      <c r="E5" s="3">
        <v>12</v>
      </c>
      <c r="F5" s="3">
        <v>80</v>
      </c>
      <c r="H5" s="12">
        <f t="shared" si="0"/>
        <v>80</v>
      </c>
    </row>
    <row r="6" spans="1:9" x14ac:dyDescent="0.25">
      <c r="C6" s="3" t="s">
        <v>15</v>
      </c>
      <c r="D6" s="3">
        <v>4</v>
      </c>
      <c r="E6" s="3">
        <v>12</v>
      </c>
      <c r="F6" s="3">
        <v>32.5</v>
      </c>
      <c r="H6" s="12">
        <f t="shared" si="0"/>
        <v>32.5</v>
      </c>
    </row>
    <row r="7" spans="1:9" x14ac:dyDescent="0.25">
      <c r="H7" s="12">
        <f t="shared" si="0"/>
        <v>0</v>
      </c>
    </row>
    <row r="8" spans="1:9" x14ac:dyDescent="0.25">
      <c r="H8" s="12">
        <f t="shared" si="0"/>
        <v>0</v>
      </c>
    </row>
    <row r="9" spans="1:9" x14ac:dyDescent="0.25">
      <c r="H9" s="12">
        <f t="shared" si="0"/>
        <v>0</v>
      </c>
    </row>
    <row r="10" spans="1:9" x14ac:dyDescent="0.25">
      <c r="H10" s="12">
        <f t="shared" si="0"/>
        <v>0</v>
      </c>
    </row>
    <row r="11" spans="1:9" x14ac:dyDescent="0.25">
      <c r="H11" s="12">
        <f t="shared" si="0"/>
        <v>0</v>
      </c>
    </row>
    <row r="12" spans="1:9" x14ac:dyDescent="0.25">
      <c r="H12" s="12">
        <f t="shared" si="0"/>
        <v>0</v>
      </c>
    </row>
    <row r="13" spans="1:9" x14ac:dyDescent="0.25">
      <c r="H13" s="12">
        <f t="shared" si="0"/>
        <v>0</v>
      </c>
    </row>
    <row r="14" spans="1:9" x14ac:dyDescent="0.25">
      <c r="H14" s="12">
        <f t="shared" si="0"/>
        <v>0</v>
      </c>
    </row>
    <row r="15" spans="1:9" x14ac:dyDescent="0.25">
      <c r="H15" s="12">
        <f t="shared" si="0"/>
        <v>0</v>
      </c>
    </row>
    <row r="16" spans="1:9" x14ac:dyDescent="0.25">
      <c r="H16" s="12">
        <f t="shared" si="0"/>
        <v>0</v>
      </c>
    </row>
    <row r="17" spans="8:8" x14ac:dyDescent="0.25">
      <c r="H17" s="12">
        <f t="shared" si="0"/>
        <v>0</v>
      </c>
    </row>
    <row r="18" spans="8:8" x14ac:dyDescent="0.25">
      <c r="H18" s="12">
        <f t="shared" si="0"/>
        <v>0</v>
      </c>
    </row>
    <row r="19" spans="8:8" x14ac:dyDescent="0.25">
      <c r="H19" s="12">
        <f t="shared" si="0"/>
        <v>0</v>
      </c>
    </row>
    <row r="20" spans="8:8" x14ac:dyDescent="0.25">
      <c r="H20" s="12">
        <f t="shared" si="0"/>
        <v>0</v>
      </c>
    </row>
    <row r="21" spans="8:8" x14ac:dyDescent="0.25">
      <c r="H21" s="12">
        <f t="shared" si="0"/>
        <v>0</v>
      </c>
    </row>
    <row r="22" spans="8:8" x14ac:dyDescent="0.25">
      <c r="H22" s="12">
        <f t="shared" si="0"/>
        <v>0</v>
      </c>
    </row>
    <row r="23" spans="8:8" x14ac:dyDescent="0.25">
      <c r="H23" s="12">
        <f t="shared" si="0"/>
        <v>0</v>
      </c>
    </row>
    <row r="24" spans="8:8" x14ac:dyDescent="0.25">
      <c r="H24" s="12">
        <f t="shared" si="0"/>
        <v>0</v>
      </c>
    </row>
    <row r="25" spans="8:8" x14ac:dyDescent="0.25">
      <c r="H25" s="12">
        <f t="shared" si="0"/>
        <v>0</v>
      </c>
    </row>
    <row r="26" spans="8:8" x14ac:dyDescent="0.25">
      <c r="H26" s="12">
        <f t="shared" si="0"/>
        <v>0</v>
      </c>
    </row>
    <row r="27" spans="8:8" x14ac:dyDescent="0.25">
      <c r="H27" s="12">
        <f t="shared" si="0"/>
        <v>0</v>
      </c>
    </row>
    <row r="28" spans="8:8" x14ac:dyDescent="0.25">
      <c r="H28" s="12">
        <f t="shared" si="0"/>
        <v>0</v>
      </c>
    </row>
    <row r="29" spans="8:8" x14ac:dyDescent="0.25">
      <c r="H29" s="12">
        <f t="shared" si="0"/>
        <v>0</v>
      </c>
    </row>
    <row r="30" spans="8:8" x14ac:dyDescent="0.25">
      <c r="H30" s="12">
        <f t="shared" si="0"/>
        <v>0</v>
      </c>
    </row>
    <row r="31" spans="8:8" x14ac:dyDescent="0.25">
      <c r="H31" s="12">
        <f t="shared" si="0"/>
        <v>0</v>
      </c>
    </row>
    <row r="32" spans="8:8" x14ac:dyDescent="0.25">
      <c r="H32" s="12">
        <f t="shared" si="0"/>
        <v>0</v>
      </c>
    </row>
    <row r="33" spans="8:8" x14ac:dyDescent="0.25">
      <c r="H33" s="12">
        <f t="shared" si="0"/>
        <v>0</v>
      </c>
    </row>
    <row r="34" spans="8:8" x14ac:dyDescent="0.25">
      <c r="H34" s="12">
        <f t="shared" ref="H34:H65" si="1">IF(F34&lt;&gt;"",IF(ISBLANK(G34),F34,CONVERT(G34,"lbm","kg")),F34)</f>
        <v>0</v>
      </c>
    </row>
    <row r="35" spans="8:8" x14ac:dyDescent="0.25">
      <c r="H35" s="12">
        <f t="shared" si="1"/>
        <v>0</v>
      </c>
    </row>
    <row r="36" spans="8:8" x14ac:dyDescent="0.25">
      <c r="H36" s="12">
        <f t="shared" si="1"/>
        <v>0</v>
      </c>
    </row>
    <row r="37" spans="8:8" x14ac:dyDescent="0.25">
      <c r="H37" s="12">
        <f t="shared" si="1"/>
        <v>0</v>
      </c>
    </row>
    <row r="38" spans="8:8" x14ac:dyDescent="0.25">
      <c r="H38" s="12">
        <f t="shared" si="1"/>
        <v>0</v>
      </c>
    </row>
    <row r="39" spans="8:8" x14ac:dyDescent="0.25">
      <c r="H39" s="12">
        <f t="shared" si="1"/>
        <v>0</v>
      </c>
    </row>
    <row r="40" spans="8:8" x14ac:dyDescent="0.25">
      <c r="H40" s="12">
        <f t="shared" si="1"/>
        <v>0</v>
      </c>
    </row>
    <row r="41" spans="8:8" x14ac:dyDescent="0.25">
      <c r="H41" s="12">
        <f t="shared" si="1"/>
        <v>0</v>
      </c>
    </row>
    <row r="42" spans="8:8" x14ac:dyDescent="0.25">
      <c r="H42" s="12">
        <f t="shared" si="1"/>
        <v>0</v>
      </c>
    </row>
    <row r="43" spans="8:8" x14ac:dyDescent="0.25">
      <c r="H43" s="12">
        <f t="shared" si="1"/>
        <v>0</v>
      </c>
    </row>
    <row r="44" spans="8:8" x14ac:dyDescent="0.25">
      <c r="H44" s="12">
        <f t="shared" si="1"/>
        <v>0</v>
      </c>
    </row>
    <row r="45" spans="8:8" x14ac:dyDescent="0.25">
      <c r="H45" s="12">
        <f t="shared" si="1"/>
        <v>0</v>
      </c>
    </row>
    <row r="46" spans="8:8" x14ac:dyDescent="0.25">
      <c r="H46" s="12">
        <f t="shared" si="1"/>
        <v>0</v>
      </c>
    </row>
    <row r="47" spans="8:8" x14ac:dyDescent="0.25">
      <c r="H47" s="12">
        <f t="shared" si="1"/>
        <v>0</v>
      </c>
    </row>
    <row r="48" spans="8:8" x14ac:dyDescent="0.25">
      <c r="H48" s="12">
        <f t="shared" si="1"/>
        <v>0</v>
      </c>
    </row>
    <row r="49" spans="8:10" x14ac:dyDescent="0.25">
      <c r="H49" s="12">
        <f t="shared" si="1"/>
        <v>0</v>
      </c>
    </row>
    <row r="50" spans="8:10" x14ac:dyDescent="0.25">
      <c r="H50" s="12">
        <f t="shared" si="1"/>
        <v>0</v>
      </c>
    </row>
    <row r="51" spans="8:10" x14ac:dyDescent="0.25">
      <c r="H51" s="12">
        <f t="shared" si="1"/>
        <v>0</v>
      </c>
    </row>
    <row r="52" spans="8:10" x14ac:dyDescent="0.25">
      <c r="H52" s="12">
        <f t="shared" si="1"/>
        <v>0</v>
      </c>
    </row>
    <row r="53" spans="8:10" x14ac:dyDescent="0.25">
      <c r="H53" s="12">
        <f t="shared" si="1"/>
        <v>0</v>
      </c>
    </row>
    <row r="54" spans="8:10" x14ac:dyDescent="0.25">
      <c r="H54" s="12">
        <f t="shared" si="1"/>
        <v>0</v>
      </c>
    </row>
    <row r="55" spans="8:10" x14ac:dyDescent="0.25">
      <c r="H55" s="12">
        <f t="shared" si="1"/>
        <v>0</v>
      </c>
    </row>
    <row r="56" spans="8:10" x14ac:dyDescent="0.25">
      <c r="H56" s="12">
        <f t="shared" si="1"/>
        <v>0</v>
      </c>
    </row>
    <row r="57" spans="8:10" x14ac:dyDescent="0.25">
      <c r="H57" s="12">
        <f t="shared" si="1"/>
        <v>0</v>
      </c>
    </row>
    <row r="58" spans="8:10" x14ac:dyDescent="0.25">
      <c r="H58" s="12">
        <f t="shared" si="1"/>
        <v>0</v>
      </c>
    </row>
    <row r="59" spans="8:10" x14ac:dyDescent="0.25">
      <c r="H59" s="12">
        <f t="shared" si="1"/>
        <v>0</v>
      </c>
    </row>
    <row r="60" spans="8:10" x14ac:dyDescent="0.25">
      <c r="H60" s="12">
        <f t="shared" si="1"/>
        <v>0</v>
      </c>
    </row>
    <row r="61" spans="8:10" x14ac:dyDescent="0.25">
      <c r="H61" s="12">
        <f t="shared" si="1"/>
        <v>0</v>
      </c>
    </row>
    <row r="62" spans="8:10" x14ac:dyDescent="0.25">
      <c r="H62" s="12">
        <f t="shared" si="1"/>
        <v>0</v>
      </c>
    </row>
    <row r="63" spans="8:10" x14ac:dyDescent="0.25">
      <c r="H63" s="12">
        <f t="shared" si="1"/>
        <v>0</v>
      </c>
    </row>
    <row r="64" spans="8:10" x14ac:dyDescent="0.25">
      <c r="H64" s="12">
        <f t="shared" ref="H64:H68" si="2">IF(F64&lt;&gt;"",IF(ISBLANK(G64),F64,CONVERT(G64,"lbm","kg")),F64)</f>
        <v>0</v>
      </c>
      <c r="J64" t="s">
        <v>18</v>
      </c>
    </row>
    <row r="65" spans="8:10" x14ac:dyDescent="0.25">
      <c r="H65" s="12">
        <f t="shared" si="2"/>
        <v>0</v>
      </c>
      <c r="J65" t="s">
        <v>20</v>
      </c>
    </row>
    <row r="66" spans="8:10" x14ac:dyDescent="0.25">
      <c r="H66" s="12">
        <f t="shared" si="2"/>
        <v>0</v>
      </c>
    </row>
    <row r="67" spans="8:10" x14ac:dyDescent="0.25">
      <c r="H67" s="12">
        <f t="shared" si="2"/>
        <v>0</v>
      </c>
    </row>
    <row r="68" spans="8:10" x14ac:dyDescent="0.25">
      <c r="H68" s="12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showGridLines="0" zoomScale="145" zoomScaleNormal="145" workbookViewId="0">
      <selection activeCell="D2" sqref="D2"/>
    </sheetView>
  </sheetViews>
  <sheetFormatPr defaultColWidth="9.140625" defaultRowHeight="15" x14ac:dyDescent="0.25"/>
  <cols>
    <col min="1" max="1" width="10.7109375" style="2" bestFit="1" customWidth="1"/>
    <col min="2" max="2" width="19.7109375" style="3" bestFit="1" customWidth="1"/>
    <col min="3" max="4" width="12" style="3" bestFit="1" customWidth="1"/>
  </cols>
  <sheetData>
    <row r="1" spans="1:4" ht="15.75" customHeight="1" thickBot="1" x14ac:dyDescent="0.3">
      <c r="A1" s="8" t="s">
        <v>0</v>
      </c>
      <c r="B1" s="9" t="s">
        <v>21</v>
      </c>
      <c r="C1" s="9" t="s">
        <v>22</v>
      </c>
      <c r="D1" s="9" t="s">
        <v>23</v>
      </c>
    </row>
    <row r="2" spans="1:4" ht="15.75" customHeight="1" thickTop="1" x14ac:dyDescent="0.25">
      <c r="A2" s="5" t="s">
        <v>19</v>
      </c>
      <c r="B2" s="6" t="s">
        <v>9</v>
      </c>
      <c r="C2" s="6" t="str">
        <f t="shared" ref="C2:C33" si="0">IF(B2&lt;&gt;"Rest","Planned","Rest")</f>
        <v>Planned</v>
      </c>
      <c r="D2" s="6" t="str">
        <f>IF(B2="Rest","Not Planned",IF(COUNTIFS(Logger!A:A,A2)&gt;0,"Worked Out","Missed"))</f>
        <v>Worked Out</v>
      </c>
    </row>
    <row r="3" spans="1:4" x14ac:dyDescent="0.25">
      <c r="A3" s="2" t="s">
        <v>16</v>
      </c>
      <c r="B3" s="3" t="s">
        <v>17</v>
      </c>
      <c r="C3" s="6" t="str">
        <f t="shared" si="0"/>
        <v>Planned</v>
      </c>
      <c r="D3" s="6" t="str">
        <f>IF(B3="Rest","Not Planned",IF(COUNTIFS(Logger!A:A,A3)&gt;0,"Worked Out","Missed"))</f>
        <v>Missed</v>
      </c>
    </row>
    <row r="4" spans="1:4" x14ac:dyDescent="0.25">
      <c r="A4" s="2" t="s">
        <v>24</v>
      </c>
      <c r="B4" s="3" t="s">
        <v>25</v>
      </c>
      <c r="C4" s="6" t="str">
        <f t="shared" si="0"/>
        <v>Rest</v>
      </c>
      <c r="D4" s="6" t="str">
        <f>IF(B4="Rest","Not Planned",IF(COUNTIFS(Logger!A:A,A4)&gt;0,"Worked Out","Missed"))</f>
        <v>Not Planned</v>
      </c>
    </row>
    <row r="5" spans="1:4" x14ac:dyDescent="0.25">
      <c r="A5" s="2" t="s">
        <v>26</v>
      </c>
      <c r="B5" s="3" t="s">
        <v>9</v>
      </c>
      <c r="C5" s="6" t="str">
        <f t="shared" si="0"/>
        <v>Planned</v>
      </c>
      <c r="D5" s="6" t="str">
        <f>IF(B5="Rest","Not Planned",IF(COUNTIFS(Logger!A:A,A5)&gt;0,"Worked Out","Missed"))</f>
        <v>Missed</v>
      </c>
    </row>
    <row r="6" spans="1:4" x14ac:dyDescent="0.25">
      <c r="A6" s="2" t="s">
        <v>27</v>
      </c>
      <c r="B6" s="3" t="s">
        <v>17</v>
      </c>
      <c r="C6" s="6" t="str">
        <f t="shared" si="0"/>
        <v>Planned</v>
      </c>
      <c r="D6" s="6" t="str">
        <f>IF(B6="Rest","Not Planned",IF(COUNTIFS(Logger!A:A,A6)&gt;0,"Worked Out","Missed"))</f>
        <v>Missed</v>
      </c>
    </row>
    <row r="7" spans="1:4" x14ac:dyDescent="0.25">
      <c r="A7" s="2" t="s">
        <v>28</v>
      </c>
      <c r="B7" s="3" t="s">
        <v>25</v>
      </c>
      <c r="C7" s="6" t="str">
        <f t="shared" si="0"/>
        <v>Rest</v>
      </c>
      <c r="D7" s="6" t="str">
        <f>IF(B7="Rest","Not Planned",IF(COUNTIFS(Logger!A:A,A7)&gt;0,"Worked Out","Missed"))</f>
        <v>Not Planned</v>
      </c>
    </row>
    <row r="8" spans="1:4" x14ac:dyDescent="0.25">
      <c r="A8" s="2" t="s">
        <v>29</v>
      </c>
      <c r="B8" s="3" t="s">
        <v>9</v>
      </c>
      <c r="C8" s="6" t="str">
        <f t="shared" si="0"/>
        <v>Planned</v>
      </c>
      <c r="D8" s="6" t="str">
        <f>IF(B8="Rest","Not Planned",IF(COUNTIFS(Logger!A:A,A8)&gt;0,"Worked Out","Missed"))</f>
        <v>Missed</v>
      </c>
    </row>
    <row r="9" spans="1:4" x14ac:dyDescent="0.25">
      <c r="A9" s="2" t="s">
        <v>30</v>
      </c>
      <c r="B9" s="3" t="s">
        <v>17</v>
      </c>
      <c r="C9" s="6" t="str">
        <f t="shared" si="0"/>
        <v>Planned</v>
      </c>
      <c r="D9" s="6" t="str">
        <f>IF(B9="Rest","Not Planned",IF(COUNTIFS(Logger!A:A,A9)&gt;0,"Worked Out","Missed"))</f>
        <v>Missed</v>
      </c>
    </row>
    <row r="10" spans="1:4" x14ac:dyDescent="0.25">
      <c r="A10" s="2" t="s">
        <v>31</v>
      </c>
      <c r="B10" s="3" t="s">
        <v>32</v>
      </c>
      <c r="C10" s="6" t="str">
        <f t="shared" si="0"/>
        <v>Planned</v>
      </c>
      <c r="D10" s="6" t="str">
        <f>IF(B10="Rest","Not Planned",IF(COUNTIFS(Logger!A:A,A10)&gt;0,"Worked Out","Missed"))</f>
        <v>Missed</v>
      </c>
    </row>
    <row r="11" spans="1:4" x14ac:dyDescent="0.25">
      <c r="A11" s="2" t="s">
        <v>33</v>
      </c>
      <c r="B11" s="3" t="s">
        <v>25</v>
      </c>
      <c r="C11" s="6" t="str">
        <f t="shared" si="0"/>
        <v>Rest</v>
      </c>
      <c r="D11" s="6" t="str">
        <f>IF(B11="Rest","Not Planned",IF(COUNTIFS(Logger!A:A,A11)&gt;0,"Worked Out","Missed"))</f>
        <v>Not Planned</v>
      </c>
    </row>
    <row r="12" spans="1:4" x14ac:dyDescent="0.25">
      <c r="A12" s="2" t="s">
        <v>34</v>
      </c>
      <c r="B12" s="3" t="s">
        <v>9</v>
      </c>
      <c r="C12" s="6" t="str">
        <f t="shared" si="0"/>
        <v>Planned</v>
      </c>
      <c r="D12" s="6" t="str">
        <f>IF(B12="Rest","Not Planned",IF(COUNTIFS(Logger!A:A,A12)&gt;0,"Worked Out","Missed"))</f>
        <v>Missed</v>
      </c>
    </row>
    <row r="13" spans="1:4" x14ac:dyDescent="0.25">
      <c r="A13" s="2" t="s">
        <v>35</v>
      </c>
      <c r="B13" s="3" t="s">
        <v>17</v>
      </c>
      <c r="C13" s="6" t="str">
        <f t="shared" si="0"/>
        <v>Planned</v>
      </c>
      <c r="D13" s="6" t="str">
        <f>IF(B13="Rest","Not Planned",IF(COUNTIFS(Logger!A:A,A13)&gt;0,"Worked Out","Missed"))</f>
        <v>Missed</v>
      </c>
    </row>
    <row r="14" spans="1:4" x14ac:dyDescent="0.25">
      <c r="A14" s="2" t="s">
        <v>36</v>
      </c>
      <c r="B14" s="3" t="s">
        <v>25</v>
      </c>
      <c r="C14" s="6" t="str">
        <f t="shared" si="0"/>
        <v>Rest</v>
      </c>
      <c r="D14" s="6" t="str">
        <f>IF(B14="Rest","Not Planned",IF(COUNTIFS(Logger!A:A,A14)&gt;0,"Worked Out","Missed"))</f>
        <v>Not Planned</v>
      </c>
    </row>
    <row r="15" spans="1:4" x14ac:dyDescent="0.25">
      <c r="A15" s="2" t="s">
        <v>37</v>
      </c>
      <c r="B15" s="3" t="s">
        <v>9</v>
      </c>
      <c r="C15" s="6" t="str">
        <f t="shared" si="0"/>
        <v>Planned</v>
      </c>
      <c r="D15" s="6" t="str">
        <f>IF(B15="Rest","Not Planned",IF(COUNTIFS(Logger!A:A,A15)&gt;0,"Worked Out","Missed"))</f>
        <v>Missed</v>
      </c>
    </row>
    <row r="16" spans="1:4" x14ac:dyDescent="0.25">
      <c r="A16" s="2" t="s">
        <v>38</v>
      </c>
      <c r="B16" s="3" t="s">
        <v>17</v>
      </c>
      <c r="C16" s="6" t="str">
        <f t="shared" si="0"/>
        <v>Planned</v>
      </c>
      <c r="D16" s="6" t="str">
        <f>IF(B16="Rest","Not Planned",IF(COUNTIFS(Logger!A:A,A16)&gt;0,"Worked Out","Missed"))</f>
        <v>Missed</v>
      </c>
    </row>
    <row r="17" spans="1:4" x14ac:dyDescent="0.25">
      <c r="A17" s="2" t="s">
        <v>39</v>
      </c>
      <c r="B17" s="3" t="s">
        <v>32</v>
      </c>
      <c r="C17" s="6" t="str">
        <f t="shared" si="0"/>
        <v>Planned</v>
      </c>
      <c r="D17" s="6" t="str">
        <f>IF(B17="Rest","Not Planned",IF(COUNTIFS(Logger!A:A,A17)&gt;0,"Worked Out","Missed"))</f>
        <v>Missed</v>
      </c>
    </row>
    <row r="18" spans="1:4" x14ac:dyDescent="0.25">
      <c r="A18" s="2" t="s">
        <v>40</v>
      </c>
      <c r="B18" s="3" t="s">
        <v>25</v>
      </c>
      <c r="C18" s="6" t="str">
        <f t="shared" si="0"/>
        <v>Rest</v>
      </c>
      <c r="D18" s="6" t="str">
        <f>IF(B18="Rest","Not Planned",IF(COUNTIFS(Logger!A:A,A18)&gt;0,"Worked Out","Missed"))</f>
        <v>Not Planned</v>
      </c>
    </row>
    <row r="19" spans="1:4" x14ac:dyDescent="0.25">
      <c r="A19" s="2" t="s">
        <v>41</v>
      </c>
      <c r="B19" s="3" t="s">
        <v>9</v>
      </c>
      <c r="C19" s="6" t="str">
        <f t="shared" si="0"/>
        <v>Planned</v>
      </c>
      <c r="D19" s="6" t="str">
        <f>IF(B19="Rest","Not Planned",IF(COUNTIFS(Logger!A:A,A19)&gt;0,"Worked Out","Missed"))</f>
        <v>Missed</v>
      </c>
    </row>
    <row r="20" spans="1:4" x14ac:dyDescent="0.25">
      <c r="A20" s="2" t="s">
        <v>42</v>
      </c>
      <c r="B20" s="3" t="s">
        <v>17</v>
      </c>
      <c r="C20" s="6" t="str">
        <f t="shared" si="0"/>
        <v>Planned</v>
      </c>
      <c r="D20" s="6" t="str">
        <f>IF(B20="Rest","Not Planned",IF(COUNTIFS(Logger!A:A,A20)&gt;0,"Worked Out","Missed"))</f>
        <v>Missed</v>
      </c>
    </row>
    <row r="21" spans="1:4" x14ac:dyDescent="0.25">
      <c r="A21" s="2" t="s">
        <v>43</v>
      </c>
      <c r="B21" s="3" t="s">
        <v>25</v>
      </c>
      <c r="C21" s="6" t="str">
        <f t="shared" si="0"/>
        <v>Rest</v>
      </c>
      <c r="D21" s="6" t="str">
        <f>IF(B21="Rest","Not Planned",IF(COUNTIFS(Logger!A:A,A21)&gt;0,"Worked Out","Missed"))</f>
        <v>Not Planned</v>
      </c>
    </row>
    <row r="22" spans="1:4" x14ac:dyDescent="0.25">
      <c r="A22" s="2" t="s">
        <v>44</v>
      </c>
      <c r="B22" s="3" t="s">
        <v>9</v>
      </c>
      <c r="C22" s="6" t="str">
        <f t="shared" si="0"/>
        <v>Planned</v>
      </c>
      <c r="D22" s="6" t="str">
        <f>IF(B22="Rest","Not Planned",IF(COUNTIFS(Logger!A:A,A22)&gt;0,"Worked Out","Missed"))</f>
        <v>Missed</v>
      </c>
    </row>
    <row r="23" spans="1:4" x14ac:dyDescent="0.25">
      <c r="A23" s="2" t="s">
        <v>45</v>
      </c>
      <c r="B23" s="3" t="s">
        <v>17</v>
      </c>
      <c r="C23" s="6" t="str">
        <f t="shared" si="0"/>
        <v>Planned</v>
      </c>
      <c r="D23" s="6" t="str">
        <f>IF(B23="Rest","Not Planned",IF(COUNTIFS(Logger!A:A,A23)&gt;0,"Worked Out","Missed"))</f>
        <v>Missed</v>
      </c>
    </row>
    <row r="24" spans="1:4" x14ac:dyDescent="0.25">
      <c r="A24" s="2" t="s">
        <v>46</v>
      </c>
      <c r="B24" s="3" t="s">
        <v>32</v>
      </c>
      <c r="C24" s="6" t="str">
        <f t="shared" si="0"/>
        <v>Planned</v>
      </c>
      <c r="D24" s="6" t="str">
        <f>IF(B24="Rest","Not Planned",IF(COUNTIFS(Logger!A:A,A24)&gt;0,"Worked Out","Missed"))</f>
        <v>Missed</v>
      </c>
    </row>
    <row r="25" spans="1:4" x14ac:dyDescent="0.25">
      <c r="A25" s="2" t="s">
        <v>47</v>
      </c>
      <c r="B25" s="3" t="s">
        <v>25</v>
      </c>
      <c r="C25" s="6" t="str">
        <f t="shared" si="0"/>
        <v>Rest</v>
      </c>
      <c r="D25" s="6" t="str">
        <f>IF(B25="Rest","Not Planned",IF(COUNTIFS(Logger!A:A,A25)&gt;0,"Worked Out","Missed"))</f>
        <v>Not Planned</v>
      </c>
    </row>
    <row r="26" spans="1:4" x14ac:dyDescent="0.25">
      <c r="A26" s="2" t="s">
        <v>48</v>
      </c>
      <c r="B26" s="3" t="s">
        <v>9</v>
      </c>
      <c r="C26" s="6" t="str">
        <f t="shared" si="0"/>
        <v>Planned</v>
      </c>
      <c r="D26" s="6" t="str">
        <f>IF(B26="Rest","Not Planned",IF(COUNTIFS(Logger!A:A,A26)&gt;0,"Worked Out","Missed"))</f>
        <v>Missed</v>
      </c>
    </row>
    <row r="27" spans="1:4" x14ac:dyDescent="0.25">
      <c r="A27" s="2" t="s">
        <v>49</v>
      </c>
      <c r="B27" s="3" t="s">
        <v>17</v>
      </c>
      <c r="C27" s="6" t="str">
        <f t="shared" si="0"/>
        <v>Planned</v>
      </c>
      <c r="D27" s="6" t="str">
        <f>IF(B27="Rest","Not Planned",IF(COUNTIFS(Logger!A:A,A27)&gt;0,"Worked Out","Missed"))</f>
        <v>Missed</v>
      </c>
    </row>
    <row r="28" spans="1:4" x14ac:dyDescent="0.25">
      <c r="A28" s="2" t="s">
        <v>50</v>
      </c>
      <c r="B28" s="3" t="s">
        <v>25</v>
      </c>
      <c r="C28" s="6" t="str">
        <f t="shared" si="0"/>
        <v>Rest</v>
      </c>
      <c r="D28" s="6" t="str">
        <f>IF(B28="Rest","Not Planned",IF(COUNTIFS(Logger!A:A,A28)&gt;0,"Worked Out","Missed"))</f>
        <v>Not Planned</v>
      </c>
    </row>
    <row r="29" spans="1:4" x14ac:dyDescent="0.25">
      <c r="A29" s="2" t="s">
        <v>51</v>
      </c>
      <c r="B29" s="3" t="s">
        <v>9</v>
      </c>
      <c r="C29" s="6" t="str">
        <f t="shared" si="0"/>
        <v>Planned</v>
      </c>
      <c r="D29" s="6" t="str">
        <f>IF(B29="Rest","Not Planned",IF(COUNTIFS(Logger!A:A,A29)&gt;0,"Worked Out","Missed"))</f>
        <v>Missed</v>
      </c>
    </row>
    <row r="30" spans="1:4" x14ac:dyDescent="0.25">
      <c r="A30" s="2" t="s">
        <v>52</v>
      </c>
      <c r="B30" s="3" t="s">
        <v>17</v>
      </c>
      <c r="C30" s="6" t="str">
        <f t="shared" si="0"/>
        <v>Planned</v>
      </c>
      <c r="D30" s="6" t="str">
        <f>IF(B30="Rest","Not Planned",IF(COUNTIFS(Logger!A:A,A30)&gt;0,"Worked Out","Missed"))</f>
        <v>Missed</v>
      </c>
    </row>
    <row r="31" spans="1:4" x14ac:dyDescent="0.25">
      <c r="A31" s="2" t="s">
        <v>53</v>
      </c>
      <c r="B31" s="3" t="s">
        <v>32</v>
      </c>
      <c r="C31" s="6" t="str">
        <f t="shared" si="0"/>
        <v>Planned</v>
      </c>
      <c r="D31" s="6" t="str">
        <f>IF(B31="Rest","Not Planned",IF(COUNTIFS(Logger!A:A,A31)&gt;0,"Worked Out","Missed"))</f>
        <v>Missed</v>
      </c>
    </row>
    <row r="32" spans="1:4" x14ac:dyDescent="0.25">
      <c r="A32" s="2" t="s">
        <v>54</v>
      </c>
      <c r="B32" s="3" t="s">
        <v>25</v>
      </c>
      <c r="C32" s="6" t="str">
        <f t="shared" si="0"/>
        <v>Rest</v>
      </c>
      <c r="D32" s="6" t="str">
        <f>IF(B32="Rest","Not Planned",IF(COUNTIFS(Logger!A:A,A32)&gt;0,"Worked Out","Missed"))</f>
        <v>Not Planned</v>
      </c>
    </row>
    <row r="33" spans="1:4" x14ac:dyDescent="0.25">
      <c r="A33" s="2" t="s">
        <v>55</v>
      </c>
      <c r="B33" s="3" t="s">
        <v>9</v>
      </c>
      <c r="C33" s="6" t="str">
        <f t="shared" si="0"/>
        <v>Planned</v>
      </c>
      <c r="D33" s="6" t="str">
        <f>IF(B33="Rest","Not Planned",IF(COUNTIFS(Logger!A:A,A33)&gt;0,"Worked Out","Missed"))</f>
        <v>Missed</v>
      </c>
    </row>
    <row r="34" spans="1:4" x14ac:dyDescent="0.25">
      <c r="A34" s="2" t="s">
        <v>56</v>
      </c>
      <c r="B34" s="3" t="s">
        <v>17</v>
      </c>
      <c r="C34" s="6" t="str">
        <f t="shared" ref="C34:C65" si="1">IF(B34&lt;&gt;"Rest","Planned","Rest")</f>
        <v>Planned</v>
      </c>
      <c r="D34" s="6" t="str">
        <f>IF(B34="Rest","Not Planned",IF(COUNTIFS(Logger!A:A,A34)&gt;0,"Worked Out","Missed"))</f>
        <v>Missed</v>
      </c>
    </row>
    <row r="35" spans="1:4" x14ac:dyDescent="0.25">
      <c r="A35" s="2" t="s">
        <v>57</v>
      </c>
      <c r="B35" s="3" t="s">
        <v>25</v>
      </c>
      <c r="C35" s="6" t="str">
        <f t="shared" si="1"/>
        <v>Rest</v>
      </c>
      <c r="D35" s="6" t="str">
        <f>IF(B35="Rest","Not Planned",IF(COUNTIFS(Logger!A:A,A35)&gt;0,"Worked Out","Missed"))</f>
        <v>Not Planned</v>
      </c>
    </row>
    <row r="36" spans="1:4" x14ac:dyDescent="0.25">
      <c r="A36" s="2" t="s">
        <v>58</v>
      </c>
      <c r="B36" s="3" t="s">
        <v>9</v>
      </c>
      <c r="C36" s="6" t="str">
        <f t="shared" si="1"/>
        <v>Planned</v>
      </c>
      <c r="D36" s="6" t="str">
        <f>IF(B36="Rest","Not Planned",IF(COUNTIFS(Logger!A:A,A36)&gt;0,"Worked Out","Missed"))</f>
        <v>Missed</v>
      </c>
    </row>
    <row r="37" spans="1:4" x14ac:dyDescent="0.25">
      <c r="A37" s="2" t="s">
        <v>59</v>
      </c>
      <c r="B37" s="3" t="s">
        <v>17</v>
      </c>
      <c r="C37" s="6" t="str">
        <f t="shared" si="1"/>
        <v>Planned</v>
      </c>
      <c r="D37" s="6" t="str">
        <f>IF(B37="Rest","Not Planned",IF(COUNTIFS(Logger!A:A,A37)&gt;0,"Worked Out","Missed"))</f>
        <v>Missed</v>
      </c>
    </row>
    <row r="38" spans="1:4" x14ac:dyDescent="0.25">
      <c r="A38" s="2" t="s">
        <v>60</v>
      </c>
      <c r="B38" s="3" t="s">
        <v>32</v>
      </c>
      <c r="C38" s="6" t="str">
        <f t="shared" si="1"/>
        <v>Planned</v>
      </c>
      <c r="D38" s="6" t="str">
        <f>IF(B38="Rest","Not Planned",IF(COUNTIFS(Logger!A:A,A38)&gt;0,"Worked Out","Missed"))</f>
        <v>Missed</v>
      </c>
    </row>
    <row r="39" spans="1:4" x14ac:dyDescent="0.25">
      <c r="A39" s="2" t="s">
        <v>61</v>
      </c>
      <c r="B39" s="3" t="s">
        <v>25</v>
      </c>
      <c r="C39" s="6" t="str">
        <f t="shared" si="1"/>
        <v>Rest</v>
      </c>
      <c r="D39" s="6" t="str">
        <f>IF(B39="Rest","Not Planned",IF(COUNTIFS(Logger!A:A,A39)&gt;0,"Worked Out","Missed"))</f>
        <v>Not Planned</v>
      </c>
    </row>
    <row r="40" spans="1:4" x14ac:dyDescent="0.25">
      <c r="A40" s="2" t="s">
        <v>62</v>
      </c>
      <c r="B40" s="3" t="s">
        <v>9</v>
      </c>
      <c r="C40" s="6" t="str">
        <f t="shared" si="1"/>
        <v>Planned</v>
      </c>
      <c r="D40" s="6" t="str">
        <f>IF(B40="Rest","Not Planned",IF(COUNTIFS(Logger!A:A,A40)&gt;0,"Worked Out","Missed"))</f>
        <v>Missed</v>
      </c>
    </row>
    <row r="41" spans="1:4" x14ac:dyDescent="0.25">
      <c r="A41" s="2" t="s">
        <v>63</v>
      </c>
      <c r="B41" s="3" t="s">
        <v>17</v>
      </c>
      <c r="C41" s="6" t="str">
        <f t="shared" si="1"/>
        <v>Planned</v>
      </c>
      <c r="D41" s="6" t="str">
        <f>IF(B41="Rest","Not Planned",IF(COUNTIFS(Logger!A:A,A41)&gt;0,"Worked Out","Missed"))</f>
        <v>Missed</v>
      </c>
    </row>
    <row r="42" spans="1:4" x14ac:dyDescent="0.25">
      <c r="A42" s="2" t="s">
        <v>64</v>
      </c>
      <c r="B42" s="3" t="s">
        <v>25</v>
      </c>
      <c r="C42" s="6" t="str">
        <f t="shared" si="1"/>
        <v>Rest</v>
      </c>
      <c r="D42" s="6" t="str">
        <f>IF(B42="Rest","Not Planned",IF(COUNTIFS(Logger!A:A,A42)&gt;0,"Worked Out","Missed"))</f>
        <v>Not Planned</v>
      </c>
    </row>
    <row r="43" spans="1:4" x14ac:dyDescent="0.25">
      <c r="A43" s="2" t="s">
        <v>65</v>
      </c>
      <c r="B43" s="3" t="s">
        <v>9</v>
      </c>
      <c r="C43" s="6" t="str">
        <f t="shared" si="1"/>
        <v>Planned</v>
      </c>
      <c r="D43" s="6" t="str">
        <f>IF(B43="Rest","Not Planned",IF(COUNTIFS(Logger!A:A,A43)&gt;0,"Worked Out","Missed"))</f>
        <v>Missed</v>
      </c>
    </row>
    <row r="44" spans="1:4" x14ac:dyDescent="0.25">
      <c r="A44" s="2" t="s">
        <v>66</v>
      </c>
      <c r="B44" s="3" t="s">
        <v>17</v>
      </c>
      <c r="C44" s="6" t="str">
        <f t="shared" si="1"/>
        <v>Planned</v>
      </c>
      <c r="D44" s="6" t="str">
        <f>IF(B44="Rest","Not Planned",IF(COUNTIFS(Logger!A:A,A44)&gt;0,"Worked Out","Missed"))</f>
        <v>Missed</v>
      </c>
    </row>
    <row r="45" spans="1:4" x14ac:dyDescent="0.25">
      <c r="A45" s="2" t="s">
        <v>67</v>
      </c>
      <c r="B45" s="3" t="s">
        <v>32</v>
      </c>
      <c r="C45" s="6" t="str">
        <f t="shared" si="1"/>
        <v>Planned</v>
      </c>
      <c r="D45" s="6" t="str">
        <f>IF(B45="Rest","Not Planned",IF(COUNTIFS(Logger!A:A,A45)&gt;0,"Worked Out","Missed"))</f>
        <v>Missed</v>
      </c>
    </row>
    <row r="46" spans="1:4" x14ac:dyDescent="0.25">
      <c r="A46" s="2" t="s">
        <v>68</v>
      </c>
      <c r="B46" s="3" t="s">
        <v>25</v>
      </c>
      <c r="C46" s="6" t="str">
        <f t="shared" si="1"/>
        <v>Rest</v>
      </c>
      <c r="D46" s="6" t="str">
        <f>IF(B46="Rest","Not Planned",IF(COUNTIFS(Logger!A:A,A46)&gt;0,"Worked Out","Missed"))</f>
        <v>Not Planned</v>
      </c>
    </row>
    <row r="47" spans="1:4" x14ac:dyDescent="0.25">
      <c r="A47" s="2" t="s">
        <v>69</v>
      </c>
      <c r="B47" s="3" t="s">
        <v>9</v>
      </c>
      <c r="C47" s="6" t="str">
        <f t="shared" si="1"/>
        <v>Planned</v>
      </c>
      <c r="D47" s="6" t="str">
        <f>IF(B47="Rest","Not Planned",IF(COUNTIFS(Logger!A:A,A47)&gt;0,"Worked Out","Missed"))</f>
        <v>Missed</v>
      </c>
    </row>
    <row r="48" spans="1:4" x14ac:dyDescent="0.25">
      <c r="A48" s="2" t="s">
        <v>70</v>
      </c>
      <c r="B48" s="3" t="s">
        <v>17</v>
      </c>
      <c r="C48" s="6" t="str">
        <f t="shared" si="1"/>
        <v>Planned</v>
      </c>
      <c r="D48" s="6" t="str">
        <f>IF(B48="Rest","Not Planned",IF(COUNTIFS(Logger!A:A,A48)&gt;0,"Worked Out","Missed"))</f>
        <v>Missed</v>
      </c>
    </row>
    <row r="49" spans="1:4" x14ac:dyDescent="0.25">
      <c r="A49" s="2" t="s">
        <v>71</v>
      </c>
      <c r="B49" s="3" t="s">
        <v>25</v>
      </c>
      <c r="C49" s="6" t="str">
        <f t="shared" si="1"/>
        <v>Rest</v>
      </c>
      <c r="D49" s="6" t="str">
        <f>IF(B49="Rest","Not Planned",IF(COUNTIFS(Logger!A:A,A49)&gt;0,"Worked Out","Missed"))</f>
        <v>Not Planned</v>
      </c>
    </row>
    <row r="50" spans="1:4" x14ac:dyDescent="0.25">
      <c r="A50" s="2" t="s">
        <v>72</v>
      </c>
      <c r="B50" s="3" t="s">
        <v>9</v>
      </c>
      <c r="C50" s="6" t="str">
        <f t="shared" si="1"/>
        <v>Planned</v>
      </c>
      <c r="D50" s="6" t="str">
        <f>IF(B50="Rest","Not Planned",IF(COUNTIFS(Logger!A:A,A50)&gt;0,"Worked Out","Missed"))</f>
        <v>Missed</v>
      </c>
    </row>
    <row r="51" spans="1:4" x14ac:dyDescent="0.25">
      <c r="A51" s="2" t="s">
        <v>73</v>
      </c>
      <c r="B51" s="3" t="s">
        <v>17</v>
      </c>
      <c r="C51" s="6" t="str">
        <f t="shared" si="1"/>
        <v>Planned</v>
      </c>
      <c r="D51" s="6" t="str">
        <f>IF(B51="Rest","Not Planned",IF(COUNTIFS(Logger!A:A,A51)&gt;0,"Worked Out","Missed"))</f>
        <v>Missed</v>
      </c>
    </row>
    <row r="52" spans="1:4" x14ac:dyDescent="0.25">
      <c r="A52" s="2" t="s">
        <v>74</v>
      </c>
      <c r="B52" s="3" t="s">
        <v>32</v>
      </c>
      <c r="C52" s="6" t="str">
        <f t="shared" si="1"/>
        <v>Planned</v>
      </c>
      <c r="D52" s="6" t="str">
        <f>IF(B52="Rest","Not Planned",IF(COUNTIFS(Logger!A:A,A52)&gt;0,"Worked Out","Missed"))</f>
        <v>Missed</v>
      </c>
    </row>
    <row r="53" spans="1:4" x14ac:dyDescent="0.25">
      <c r="A53" s="2" t="s">
        <v>75</v>
      </c>
      <c r="B53" s="3" t="s">
        <v>25</v>
      </c>
      <c r="C53" s="6" t="str">
        <f t="shared" si="1"/>
        <v>Rest</v>
      </c>
      <c r="D53" s="6" t="str">
        <f>IF(B53="Rest","Not Planned",IF(COUNTIFS(Logger!A:A,A53)&gt;0,"Worked Out","Missed"))</f>
        <v>Not Planned</v>
      </c>
    </row>
    <row r="54" spans="1:4" x14ac:dyDescent="0.25">
      <c r="A54" s="2" t="s">
        <v>76</v>
      </c>
      <c r="B54" s="3" t="s">
        <v>9</v>
      </c>
      <c r="C54" s="6" t="str">
        <f t="shared" si="1"/>
        <v>Planned</v>
      </c>
      <c r="D54" s="6" t="str">
        <f>IF(B54="Rest","Not Planned",IF(COUNTIFS(Logger!A:A,A54)&gt;0,"Worked Out","Missed"))</f>
        <v>Missed</v>
      </c>
    </row>
    <row r="55" spans="1:4" x14ac:dyDescent="0.25">
      <c r="A55" s="2" t="s">
        <v>77</v>
      </c>
      <c r="B55" s="3" t="s">
        <v>17</v>
      </c>
      <c r="C55" s="6" t="str">
        <f t="shared" si="1"/>
        <v>Planned</v>
      </c>
      <c r="D55" s="6" t="str">
        <f>IF(B55="Rest","Not Planned",IF(COUNTIFS(Logger!A:A,A55)&gt;0,"Worked Out","Missed"))</f>
        <v>Missed</v>
      </c>
    </row>
    <row r="56" spans="1:4" x14ac:dyDescent="0.25">
      <c r="A56" s="2" t="s">
        <v>78</v>
      </c>
      <c r="B56" s="3" t="s">
        <v>25</v>
      </c>
      <c r="C56" s="6" t="str">
        <f t="shared" si="1"/>
        <v>Rest</v>
      </c>
      <c r="D56" s="6" t="str">
        <f>IF(B56="Rest","Not Planned",IF(COUNTIFS(Logger!A:A,A56)&gt;0,"Worked Out","Missed"))</f>
        <v>Not Planned</v>
      </c>
    </row>
    <row r="57" spans="1:4" x14ac:dyDescent="0.25">
      <c r="A57" s="2" t="s">
        <v>79</v>
      </c>
      <c r="B57" s="3" t="s">
        <v>9</v>
      </c>
      <c r="C57" s="6" t="str">
        <f t="shared" si="1"/>
        <v>Planned</v>
      </c>
      <c r="D57" s="6" t="str">
        <f>IF(B57="Rest","Not Planned",IF(COUNTIFS(Logger!A:A,A57)&gt;0,"Worked Out","Missed"))</f>
        <v>Missed</v>
      </c>
    </row>
    <row r="58" spans="1:4" x14ac:dyDescent="0.25">
      <c r="A58" s="2" t="s">
        <v>80</v>
      </c>
      <c r="B58" s="3" t="s">
        <v>17</v>
      </c>
      <c r="C58" s="6" t="str">
        <f t="shared" si="1"/>
        <v>Planned</v>
      </c>
      <c r="D58" s="6" t="str">
        <f>IF(B58="Rest","Not Planned",IF(COUNTIFS(Logger!A:A,A58)&gt;0,"Worked Out","Missed"))</f>
        <v>Missed</v>
      </c>
    </row>
    <row r="59" spans="1:4" x14ac:dyDescent="0.25">
      <c r="A59" s="2" t="s">
        <v>81</v>
      </c>
      <c r="B59" s="3" t="s">
        <v>32</v>
      </c>
      <c r="C59" s="6" t="str">
        <f t="shared" si="1"/>
        <v>Planned</v>
      </c>
      <c r="D59" s="6" t="str">
        <f>IF(B59="Rest","Not Planned",IF(COUNTIFS(Logger!A:A,A59)&gt;0,"Worked Out","Missed"))</f>
        <v>Missed</v>
      </c>
    </row>
    <row r="60" spans="1:4" x14ac:dyDescent="0.25">
      <c r="A60" s="2" t="s">
        <v>82</v>
      </c>
      <c r="B60" s="3" t="s">
        <v>25</v>
      </c>
      <c r="C60" s="6" t="str">
        <f t="shared" si="1"/>
        <v>Rest</v>
      </c>
      <c r="D60" s="6" t="str">
        <f>IF(B60="Rest","Not Planned",IF(COUNTIFS(Logger!A:A,A60)&gt;0,"Worked Out","Missed"))</f>
        <v>Not Planned</v>
      </c>
    </row>
    <row r="61" spans="1:4" x14ac:dyDescent="0.25">
      <c r="A61" s="2" t="s">
        <v>83</v>
      </c>
      <c r="B61" s="3" t="s">
        <v>9</v>
      </c>
      <c r="C61" s="6" t="str">
        <f t="shared" si="1"/>
        <v>Planned</v>
      </c>
      <c r="D61" s="6" t="str">
        <f>IF(B61="Rest","Not Planned",IF(COUNTIFS(Logger!A:A,A61)&gt;0,"Worked Out","Missed"))</f>
        <v>Missed</v>
      </c>
    </row>
    <row r="62" spans="1:4" x14ac:dyDescent="0.25">
      <c r="A62" s="2" t="s">
        <v>84</v>
      </c>
      <c r="B62" s="3" t="s">
        <v>17</v>
      </c>
      <c r="C62" s="6" t="str">
        <f t="shared" si="1"/>
        <v>Planned</v>
      </c>
      <c r="D62" s="6" t="str">
        <f>IF(B62="Rest","Not Planned",IF(COUNTIFS(Logger!A:A,A62)&gt;0,"Worked Out","Missed"))</f>
        <v>Missed</v>
      </c>
    </row>
    <row r="63" spans="1:4" x14ac:dyDescent="0.25">
      <c r="A63" s="2" t="s">
        <v>85</v>
      </c>
      <c r="B63" s="3" t="s">
        <v>25</v>
      </c>
      <c r="C63" s="6" t="str">
        <f t="shared" si="1"/>
        <v>Rest</v>
      </c>
      <c r="D63" s="6" t="str">
        <f>IF(B63="Rest","Not Planned",IF(COUNTIFS(Logger!A:A,A63)&gt;0,"Worked Out","Missed"))</f>
        <v>Not Planned</v>
      </c>
    </row>
  </sheetData>
  <conditionalFormatting sqref="A2:A63">
    <cfRule type="expression" dxfId="5" priority="2">
      <formula>AND(WEEKDAY(A1,1)&gt;4,WEEKDAY(A1,1)&lt;6)</formula>
    </cfRule>
    <cfRule type="expression" dxfId="4" priority="3">
      <formula>WEEKDAY(A2,2)&gt;5</formula>
    </cfRule>
  </conditionalFormatting>
  <conditionalFormatting sqref="B2:C63">
    <cfRule type="containsText" dxfId="3" priority="1" operator="containsText" text="Rest">
      <formula>NOT(ISERROR(SEARCH("Rest",B2)))</formula>
    </cfRule>
  </conditionalFormatting>
  <conditionalFormatting sqref="D2:D63">
    <cfRule type="expression" dxfId="2" priority="4">
      <formula>AND($D2="Worked Out",$A2&lt;=TODAY())</formula>
    </cfRule>
    <cfRule type="containsText" dxfId="1" priority="5" operator="containsText" text="Not Planned">
      <formula>NOT(ISERROR(SEARCH("Not Planned",D2)))</formula>
    </cfRule>
    <cfRule type="expression" dxfId="0" priority="6">
      <formula>AND($D2="Missed",$A2&lt;=TODAY())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Logger</vt:lpstr>
      <vt:lpstr>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Bassam Alghousein</cp:lastModifiedBy>
  <dcterms:created xsi:type="dcterms:W3CDTF">2025-10-25T01:33:20Z</dcterms:created>
  <dcterms:modified xsi:type="dcterms:W3CDTF">2025-10-26T02:04:30Z</dcterms:modified>
</cp:coreProperties>
</file>